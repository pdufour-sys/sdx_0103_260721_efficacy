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FS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<sst xmlns="http://schemas.openxmlformats.org/spreadsheetml/2006/main" count="19" uniqueCount="19">
  <si>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Subject</t>
  </si>
  <si>
    <t xml:space="preserve">DurationDays</t>
  </si>
  <si>
    <t xml:space="preserve">DurationMonths</t>
  </si>
  <si>
    <t xml:space="preserve">IsPD</t>
  </si>
  <si>
    <t xml:space="preserve">AtRisk</t>
  </si>
  <si>
    <t xml:space="preserve">PD</t>
  </si>
  <si>
    <t xml:space="preserve">Censored</t>
  </si>
  <si>
    <t xml:space="preserve">ThisRat</t>
  </si>
  <si>
    <t xml:space="preserve">Prod</t>
  </si>
  <si>
    <t xml:space="preserve">102-006</t>
  </si>
  <si>
    <t xml:space="preserve">105-005</t>
  </si>
  <si>
    <t xml:space="preserve">110-002</t>
  </si>
  <si>
    <t xml:space="preserve">102-001</t>
  </si>
  <si>
    <t xml:space="preserve">105-006</t>
  </si>
  <si>
    <t xml:space="preserve">111-004</t>
  </si>
  <si>
    <t xml:space="preserve">105-001</t>
  </si>
  <si>
    <t xml:space="preserve">102-007</t>
  </si>
  <si>
    <t xml:space="preserve">TRUE</t>
  </si>
  <si>
    <t xml:space="preserve"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</si>
</sst>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0CB"/>
      </patternFill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n">
        <v>55</v>
      </c>
      <c r="C2" t="str">
        <f>=B2/(365.25/12)</f>
      </c>
      <c r="D2" t="s">
        <v>17</v>
      </c>
      <c r="E2" t="n">
        <v>8</v>
      </c>
      <c r="F2" t="str">
        <f>=IF(D2="TRUE",1,0)</f>
      </c>
      <c r="G2" t="str">
        <f>=1-F2</f>
      </c>
      <c r="H2" t="str">
        <f>=(E2-F2)/E2</f>
      </c>
      <c r="I2" t="str">
        <f>=H2</f>
      </c>
    </row>
    <row r="3">
      <c r="A3" t="s">
        <v>10</v>
      </c>
      <c r="B3" t="n">
        <v>92</v>
      </c>
      <c r="C3" t="str">
        <f>=B3/(365.25/12)</f>
      </c>
      <c r="D3" t="s">
        <v>18</v>
      </c>
      <c r="E3" t="str">
        <f>=E2-F2-G2</f>
      </c>
      <c r="F3" t="str">
        <f>=IF(D3="TRUE",1,0)</f>
      </c>
      <c r="G3" t="str">
        <f>=1-F3</f>
      </c>
      <c r="H3" t="str">
        <f>=(E3-F3)/E3</f>
      </c>
      <c r="I3" t="str">
        <f>=H3*I2</f>
      </c>
    </row>
    <row r="4">
      <c r="A4" t="s">
        <v>11</v>
      </c>
      <c r="B4" t="n">
        <v>115</v>
      </c>
      <c r="C4" t="str">
        <f>=B4/(365.25/12)</f>
      </c>
      <c r="D4" t="s">
        <v>17</v>
      </c>
      <c r="E4" t="str">
        <f>=E3-F3-G3</f>
      </c>
      <c r="F4" t="str">
        <f>=IF(D4="TRUE",1,0)</f>
      </c>
      <c r="G4" t="str">
        <f>=1-F4</f>
      </c>
      <c r="H4" t="str">
        <f>=(E4-F4)/E4</f>
      </c>
      <c r="I4" t="str">
        <f>=H4*I3</f>
      </c>
    </row>
    <row r="5">
      <c r="A5" t="s">
        <v>12</v>
      </c>
      <c r="B5" t="n">
        <v>182</v>
      </c>
      <c r="C5" t="str">
        <f>=B5/(365.25/12)</f>
      </c>
      <c r="D5" t="s">
        <v>17</v>
      </c>
      <c r="E5" t="str">
        <f>=E4-F4-G4</f>
      </c>
      <c r="F5" t="str">
        <f>=IF(D5="TRUE",1,0)</f>
      </c>
      <c r="G5" t="str">
        <f>=1-F5</f>
      </c>
      <c r="H5" t="str">
        <f>=(E5-F5)/E5</f>
      </c>
      <c r="I5" t="str">
        <f>=H5*I4</f>
      </c>
    </row>
    <row r="6">
      <c r="A6" t="s">
        <v>13</v>
      </c>
      <c r="B6" t="n">
        <v>182</v>
      </c>
      <c r="C6" t="str">
        <f>=B6/(365.25/12)</f>
      </c>
      <c r="D6" t="s">
        <v>17</v>
      </c>
      <c r="E6" t="str">
        <f>=E5-F5-G5</f>
      </c>
      <c r="F6" t="str">
        <f>=IF(D6="TRUE",1,0)</f>
      </c>
      <c r="G6" t="str">
        <f>=1-F6</f>
      </c>
      <c r="H6" t="str">
        <f>=(E6-F6)/E6</f>
      </c>
      <c r="I6" s="2" t="str">
        <f>=H6*I5</f>
      </c>
    </row>
    <row r="7">
      <c r="A7" t="s">
        <v>14</v>
      </c>
      <c r="B7" t="n">
        <v>241</v>
      </c>
      <c r="C7" t="str">
        <f>=B7/(365.25/12)</f>
      </c>
      <c r="D7" t="s">
        <v>18</v>
      </c>
      <c r="E7" t="str">
        <f>=E6-F6-G6</f>
      </c>
      <c r="F7" t="str">
        <f>=IF(D7="TRUE",1,0)</f>
      </c>
      <c r="G7" t="str">
        <f>=1-F7</f>
      </c>
      <c r="H7" t="str">
        <f>=(E7-F7)/E7</f>
      </c>
      <c r="I7" s="2" t="str">
        <f>=H7*I6</f>
      </c>
    </row>
    <row r="8">
      <c r="A8" t="s">
        <v>15</v>
      </c>
      <c r="B8" t="n">
        <v>432</v>
      </c>
      <c r="C8" t="str">
        <f>=B8/(365.25/12)</f>
      </c>
      <c r="D8" t="s">
        <v>17</v>
      </c>
      <c r="E8" t="str">
        <f>=E7-F7-G7</f>
      </c>
      <c r="F8" t="str">
        <f>=IF(D8="TRUE",1,0)</f>
      </c>
      <c r="G8" t="str">
        <f>=1-F8</f>
      </c>
      <c r="H8" t="str">
        <f>=(E8-F8)/E8</f>
      </c>
      <c r="I8" t="str">
        <f>=H8*I7</f>
      </c>
    </row>
    <row r="9">
      <c r="A9" t="s">
        <v>16</v>
      </c>
      <c r="B9" t="n">
        <v>685</v>
      </c>
      <c r="C9" t="str">
        <f>=B9/(365.25/12)</f>
      </c>
      <c r="D9" t="s">
        <v>17</v>
      </c>
      <c r="E9" t="str">
        <f>=E8-F8-G8</f>
      </c>
      <c r="F9" t="str">
        <f>=IF(D9="TRUE",1,0)</f>
      </c>
      <c r="G9" t="str">
        <f>=1-F9</f>
      </c>
      <c r="H9" t="str">
        <f>=(E9-F9)/E9</f>
      </c>
      <c r="I9" t="str">
        <f>=H9*I8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pjdu4</dc:creator>
  <cp:lastModifiedBy>pjdu4</cp:lastModifiedBy>
  <dcterms:created xsi:type="dcterms:W3CDTF">2026-08-12T16:05:58Z</dcterms:created>
</coreProperties>
</file>